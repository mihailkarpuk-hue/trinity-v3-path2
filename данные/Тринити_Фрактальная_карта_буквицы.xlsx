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буквицы" sheetId="1" state="visible" r:id="rId1"/>
    <sheet xmlns:r="http://schemas.openxmlformats.org/officeDocument/2006/relationships" name="Легенда и 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3"/>
    </font>
    <font>
      <name val="Arial"/>
      <b val="1"/>
      <color rgb="002E7D32"/>
    </font>
    <font>
      <name val="Arial"/>
      <b val="1"/>
      <color rgb="00B45309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DE2E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Вложенность ↔ гармоничность (цвет = семейство)</a:t>
            </a:r>
          </a:p>
        </rich>
      </tx>
    </title>
    <plotArea>
      <scatterChart>
        <ser>
          <idx val="0"/>
          <order val="0"/>
          <tx>
            <v>буквы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'Карта буквицы'!$E$2:$E$38</f>
            </numRef>
          </xVal>
          <yVal>
            <numRef>
              <f>'Карта буквицы'!$I$2:$I$38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FD (шероховатость 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Гармоничность (тон →)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9" customWidth="1" min="4" max="4"/>
    <col width="11" customWidth="1" min="5" max="5"/>
    <col width="12" customWidth="1" min="6" max="6"/>
    <col width="15" customWidth="1" min="7" max="7"/>
    <col width="17" customWidth="1" min="8" max="8"/>
    <col width="13" customWidth="1" min="9" max="9"/>
    <col width="8" customWidth="1" min="10" max="10"/>
    <col width="11" customWidth="1" min="11" max="11"/>
    <col width="11" customWidth="1" min="12" max="12"/>
    <col width="12" customWidth="1" min="13" max="13"/>
    <col width="11" customWidth="1" min="14" max="14"/>
    <col width="22" customWidth="1" min="15" max="15"/>
  </cols>
  <sheetData>
    <row r="1" ht="44" customHeight="1">
      <c r="A1" s="1" t="inlineStr">
        <is>
          <t>#</t>
        </is>
      </c>
      <c r="B1" s="1" t="inlineStr">
        <is>
          <t>Буква</t>
        </is>
      </c>
      <c r="C1" s="1" t="inlineStr">
        <is>
          <t>Семейство</t>
        </is>
      </c>
      <c r="D1" s="1" t="inlineStr">
        <is>
          <t>Фаза</t>
        </is>
      </c>
      <c r="E1" s="1" t="inlineStr">
        <is>
          <t>FD (Хигучи)</t>
        </is>
      </c>
      <c r="F1" s="1" t="inlineStr">
        <is>
          <t>FD ресинтез</t>
        </is>
      </c>
      <c r="G1" s="1" t="inlineStr">
        <is>
          <t>FD Δ (round-trip)</t>
        </is>
      </c>
      <c r="H1" s="1" t="inlineStr">
        <is>
          <t>Δα мультифрактал</t>
        </is>
      </c>
      <c r="I1" s="1" t="inlineStr">
        <is>
          <t>Гармоничность</t>
        </is>
      </c>
      <c r="J1" s="1" t="inlineStr">
        <is>
          <t>f0, Гц</t>
        </is>
      </c>
      <c r="K1" s="1" t="inlineStr">
        <is>
          <t>Центроид, Гц</t>
        </is>
      </c>
      <c r="L1" s="1" t="inlineStr">
        <is>
          <t>Акт. масштабов</t>
        </is>
      </c>
      <c r="M1" s="1" t="inlineStr">
        <is>
          <t>Самоподобие R²</t>
        </is>
      </c>
      <c r="N1" s="1" t="inlineStr">
        <is>
          <t>Взаимовлож.</t>
        </is>
      </c>
      <c r="O1" s="1" t="inlineStr">
        <is>
          <t>Форманты, Гц</t>
        </is>
      </c>
    </row>
    <row r="2">
      <c r="A2" s="2" t="n">
        <v>1</v>
      </c>
      <c r="B2" s="3" t="inlineStr">
        <is>
          <t>У протяжное</t>
        </is>
      </c>
      <c r="C2" s="4" t="inlineStr">
        <is>
          <t>I · чистый тон (глубокая вложенность)</t>
        </is>
      </c>
      <c r="D2" s="2" t="inlineStr">
        <is>
          <t>тон</t>
        </is>
      </c>
      <c r="E2" s="5" t="n">
        <v>0.054</v>
      </c>
      <c r="F2" s="5" t="n">
        <v>0.051</v>
      </c>
      <c r="G2" s="5" t="n">
        <v>0.003</v>
      </c>
      <c r="H2" s="2" t="inlineStr">
        <is>
          <t>1.358</t>
        </is>
      </c>
      <c r="I2" s="6" t="n">
        <v>0.954</v>
      </c>
      <c r="J2" s="2" t="n">
        <v>200</v>
      </c>
      <c r="K2" s="2" t="n">
        <v>378</v>
      </c>
      <c r="L2" s="2" t="n">
        <v>2</v>
      </c>
      <c r="M2" s="2" t="n">
        <v>0.766</v>
      </c>
      <c r="N2" s="2" t="n">
        <v>0.85</v>
      </c>
      <c r="O2" s="2" t="inlineStr">
        <is>
          <t>70 / 179 / 406 / 593</t>
        </is>
      </c>
    </row>
    <row r="3">
      <c r="A3" s="2" t="n">
        <v>2</v>
      </c>
      <c r="B3" s="3" t="inlineStr">
        <is>
          <t>О протяжное</t>
        </is>
      </c>
      <c r="C3" s="4" t="inlineStr">
        <is>
          <t>I · чистый тон (глубокая вложенность)</t>
        </is>
      </c>
      <c r="D3" s="2" t="inlineStr">
        <is>
          <t>тон</t>
        </is>
      </c>
      <c r="E3" s="5" t="n">
        <v>0.092</v>
      </c>
      <c r="F3" s="5" t="n">
        <v>0.096</v>
      </c>
      <c r="G3" s="5" t="n">
        <v>0.004</v>
      </c>
      <c r="H3" s="7" t="inlineStr">
        <is>
          <t>4.07 (периодика*)</t>
        </is>
      </c>
      <c r="I3" s="6" t="n">
        <v>0.904</v>
      </c>
      <c r="J3" s="2" t="n">
        <v>183.9</v>
      </c>
      <c r="K3" s="2" t="n">
        <v>467</v>
      </c>
      <c r="L3" s="2" t="n">
        <v>3</v>
      </c>
      <c r="M3" s="2" t="n">
        <v>0.765</v>
      </c>
      <c r="N3" s="2" t="n">
        <v>0.901</v>
      </c>
      <c r="O3" s="2" t="inlineStr">
        <is>
          <t>179 / 382 / 562 / 750</t>
        </is>
      </c>
    </row>
    <row r="4">
      <c r="A4" s="2" t="n">
        <v>3</v>
      </c>
      <c r="B4" s="3" t="inlineStr">
        <is>
          <t>О</t>
        </is>
      </c>
      <c r="C4" s="4" t="inlineStr">
        <is>
          <t>I · чистый тон (глубокая вложенность)</t>
        </is>
      </c>
      <c r="D4" s="2" t="inlineStr">
        <is>
          <t>тон</t>
        </is>
      </c>
      <c r="E4" s="5" t="n">
        <v>0.112</v>
      </c>
      <c r="F4" s="5" t="n">
        <v>0.141</v>
      </c>
      <c r="G4" s="5" t="n">
        <v>0.029</v>
      </c>
      <c r="H4" s="2" t="inlineStr">
        <is>
          <t>1.193</t>
        </is>
      </c>
      <c r="I4" s="6" t="n">
        <v>0.5669999999999999</v>
      </c>
      <c r="J4" s="2" t="n">
        <v>202.5</v>
      </c>
      <c r="K4" s="2" t="n">
        <v>561</v>
      </c>
      <c r="L4" s="2" t="n">
        <v>2</v>
      </c>
      <c r="M4" s="2" t="n">
        <v>0.749</v>
      </c>
      <c r="N4" s="2" t="n">
        <v>0.264</v>
      </c>
      <c r="O4" s="2" t="inlineStr">
        <is>
          <t>203 / 406 / 609 / 789</t>
        </is>
      </c>
    </row>
    <row r="5">
      <c r="A5" s="2" t="n">
        <v>4</v>
      </c>
      <c r="B5" s="3" t="inlineStr">
        <is>
          <t>У</t>
        </is>
      </c>
      <c r="C5" s="4" t="inlineStr">
        <is>
          <t>I · чистый тон (глубокая вложенность)</t>
        </is>
      </c>
      <c r="D5" s="2" t="inlineStr">
        <is>
          <t>тон</t>
        </is>
      </c>
      <c r="E5" s="5" t="n">
        <v>0.137</v>
      </c>
      <c r="F5" s="5" t="n">
        <v>0.098</v>
      </c>
      <c r="G5" s="5" t="n">
        <v>0.039</v>
      </c>
      <c r="H5" s="2" t="inlineStr">
        <is>
          <t>0.877</t>
        </is>
      </c>
      <c r="I5" s="6" t="n">
        <v>0.68</v>
      </c>
      <c r="J5" s="2" t="n">
        <v>219.2</v>
      </c>
      <c r="K5" s="2" t="n">
        <v>403</v>
      </c>
      <c r="L5" s="2" t="n">
        <v>2</v>
      </c>
      <c r="M5" s="2" t="n">
        <v>0.98</v>
      </c>
      <c r="N5" s="2" t="n">
        <v>0.415</v>
      </c>
      <c r="O5" s="2" t="inlineStr">
        <is>
          <t>62 / 203 / 429 / 656</t>
        </is>
      </c>
    </row>
    <row r="6">
      <c r="A6" s="2" t="n">
        <v>5</v>
      </c>
      <c r="B6" s="3" t="inlineStr">
        <is>
          <t>И протяжное</t>
        </is>
      </c>
      <c r="C6" s="8" t="inlineStr">
        <is>
          <t>II · тон (гармоники+форманты)</t>
        </is>
      </c>
      <c r="D6" s="2" t="inlineStr">
        <is>
          <t>тон</t>
        </is>
      </c>
      <c r="E6" s="5" t="n">
        <v>0.167</v>
      </c>
      <c r="F6" s="5" t="n">
        <v>0.184</v>
      </c>
      <c r="G6" s="5" t="n">
        <v>0.017</v>
      </c>
      <c r="H6" s="7" t="inlineStr">
        <is>
          <t>4.04 (периодика*)</t>
        </is>
      </c>
      <c r="I6" s="6" t="n">
        <v>0.903</v>
      </c>
      <c r="J6" s="2" t="n">
        <v>186</v>
      </c>
      <c r="K6" s="2" t="n">
        <v>358</v>
      </c>
      <c r="L6" s="2" t="n">
        <v>2</v>
      </c>
      <c r="M6" s="2" t="n">
        <v>0.963</v>
      </c>
      <c r="N6" s="2" t="n">
        <v>0.374</v>
      </c>
      <c r="O6" s="2" t="inlineStr">
        <is>
          <t>187 / 382 / 562 / 2914</t>
        </is>
      </c>
    </row>
    <row r="7">
      <c r="A7" s="2" t="n">
        <v>6</v>
      </c>
      <c r="B7" s="3" t="inlineStr">
        <is>
          <t>Д</t>
        </is>
      </c>
      <c r="C7" s="8" t="inlineStr">
        <is>
          <t>II · тон (гармоники+форманты)</t>
        </is>
      </c>
      <c r="D7" s="2" t="inlineStr">
        <is>
          <t>тон</t>
        </is>
      </c>
      <c r="E7" s="5" t="n">
        <v>0.176</v>
      </c>
      <c r="F7" s="5" t="n">
        <v>0.252</v>
      </c>
      <c r="G7" s="5" t="n">
        <v>0.076</v>
      </c>
      <c r="H7" s="2" t="inlineStr">
        <is>
          <t>0.931</t>
        </is>
      </c>
      <c r="I7" s="6" t="n">
        <v>0.805</v>
      </c>
      <c r="J7" s="2" t="n">
        <v>181.8</v>
      </c>
      <c r="K7" s="2" t="n">
        <v>514</v>
      </c>
      <c r="L7" s="2" t="n">
        <v>3</v>
      </c>
      <c r="M7" s="2" t="n">
        <v>0.954</v>
      </c>
      <c r="N7" s="2" t="n">
        <v>0.6860000000000001</v>
      </c>
      <c r="O7" s="2" t="inlineStr">
        <is>
          <t>187 / 367 / 546 / 710</t>
        </is>
      </c>
    </row>
    <row r="8">
      <c r="A8" s="2" t="n">
        <v>7</v>
      </c>
      <c r="B8" s="3" t="inlineStr">
        <is>
          <t>Б</t>
        </is>
      </c>
      <c r="C8" s="8" t="inlineStr">
        <is>
          <t>II · тон (гармоники+форманты)</t>
        </is>
      </c>
      <c r="D8" s="2" t="inlineStr">
        <is>
          <t>тон</t>
        </is>
      </c>
      <c r="E8" s="5" t="n">
        <v>0.19</v>
      </c>
      <c r="F8" s="5" t="n">
        <v>0.236</v>
      </c>
      <c r="G8" s="5" t="n">
        <v>0.046</v>
      </c>
      <c r="H8" s="2" t="inlineStr">
        <is>
          <t>1.253</t>
        </is>
      </c>
      <c r="I8" s="6" t="n">
        <v>0.761</v>
      </c>
      <c r="J8" s="2" t="n">
        <v>175.8</v>
      </c>
      <c r="K8" s="2" t="n">
        <v>503</v>
      </c>
      <c r="L8" s="2" t="n">
        <v>3</v>
      </c>
      <c r="M8" s="2" t="n">
        <v>0.913</v>
      </c>
      <c r="N8" s="2" t="n">
        <v>0.27</v>
      </c>
      <c r="O8" s="2" t="inlineStr">
        <is>
          <t>351 / 523 / 695 / 859</t>
        </is>
      </c>
    </row>
    <row r="9">
      <c r="A9" s="2" t="n">
        <v>8</v>
      </c>
      <c r="B9" s="3" t="inlineStr">
        <is>
          <t>Э</t>
        </is>
      </c>
      <c r="C9" s="8" t="inlineStr">
        <is>
          <t>II · тон (гармоники+форманты)</t>
        </is>
      </c>
      <c r="D9" s="2" t="inlineStr">
        <is>
          <t>тон</t>
        </is>
      </c>
      <c r="E9" s="5" t="n">
        <v>0.209</v>
      </c>
      <c r="F9" s="5" t="n">
        <v>0.215</v>
      </c>
      <c r="G9" s="5" t="n">
        <v>0.006</v>
      </c>
      <c r="H9" s="2" t="inlineStr">
        <is>
          <t>0.815</t>
        </is>
      </c>
      <c r="I9" s="6" t="n">
        <v>0.797</v>
      </c>
      <c r="J9" s="2" t="n">
        <v>195.1</v>
      </c>
      <c r="K9" s="2" t="n">
        <v>493</v>
      </c>
      <c r="L9" s="2" t="n">
        <v>3</v>
      </c>
      <c r="M9" s="2" t="n">
        <v>0.955</v>
      </c>
      <c r="N9" s="2" t="n">
        <v>0.362</v>
      </c>
      <c r="O9" s="2" t="inlineStr">
        <is>
          <t>195 / 382 / 570 / 750</t>
        </is>
      </c>
    </row>
    <row r="10">
      <c r="A10" s="2" t="n">
        <v>9</v>
      </c>
      <c r="B10" s="3" t="inlineStr">
        <is>
          <t>Г</t>
        </is>
      </c>
      <c r="C10" s="8" t="inlineStr">
        <is>
          <t>II · тон (гармоники+форманты)</t>
        </is>
      </c>
      <c r="D10" s="2" t="inlineStr">
        <is>
          <t>тон</t>
        </is>
      </c>
      <c r="E10" s="5" t="n">
        <v>0.21</v>
      </c>
      <c r="F10" s="5" t="n">
        <v>0.229</v>
      </c>
      <c r="G10" s="5" t="n">
        <v>0.019</v>
      </c>
      <c r="H10" s="2" t="inlineStr">
        <is>
          <t>1.253</t>
        </is>
      </c>
      <c r="I10" s="6" t="n">
        <v>0.925</v>
      </c>
      <c r="J10" s="2" t="n">
        <v>179.8</v>
      </c>
      <c r="K10" s="2" t="n">
        <v>476</v>
      </c>
      <c r="L10" s="2" t="n">
        <v>3</v>
      </c>
      <c r="M10" s="2" t="n">
        <v>0.955</v>
      </c>
      <c r="N10" s="2" t="n">
        <v>0.637</v>
      </c>
      <c r="O10" s="2" t="inlineStr">
        <is>
          <t>179 / 359 / 539 / 1796</t>
        </is>
      </c>
    </row>
    <row r="11">
      <c r="A11" s="2" t="n">
        <v>10</v>
      </c>
      <c r="B11" s="3" t="inlineStr">
        <is>
          <t>Ю протяжное</t>
        </is>
      </c>
      <c r="C11" s="8" t="inlineStr">
        <is>
          <t>II · тон (гармоники+форманты)</t>
        </is>
      </c>
      <c r="D11" s="2" t="inlineStr">
        <is>
          <t>тон</t>
        </is>
      </c>
      <c r="E11" s="5" t="n">
        <v>0.215</v>
      </c>
      <c r="F11" s="5" t="n">
        <v>0.171</v>
      </c>
      <c r="G11" s="5" t="n">
        <v>0.044</v>
      </c>
      <c r="H11" s="7" t="inlineStr">
        <is>
          <t>4.51 (периодика*)</t>
        </is>
      </c>
      <c r="I11" s="6" t="n">
        <v>0.843</v>
      </c>
      <c r="J11" s="2" t="n">
        <v>195.1</v>
      </c>
      <c r="K11" s="2" t="n">
        <v>463</v>
      </c>
      <c r="L11" s="2" t="n">
        <v>2</v>
      </c>
      <c r="M11" s="2" t="n">
        <v>0.967</v>
      </c>
      <c r="N11" s="2" t="n">
        <v>0.043</v>
      </c>
      <c r="O11" s="2" t="inlineStr">
        <is>
          <t>195 / 390 / 570 / 757</t>
        </is>
      </c>
    </row>
    <row r="12">
      <c r="A12" s="2" t="n">
        <v>11</v>
      </c>
      <c r="B12" s="3" t="inlineStr">
        <is>
          <t>Э протяжное</t>
        </is>
      </c>
      <c r="C12" s="8" t="inlineStr">
        <is>
          <t>II · тон (гармоники+форманты)</t>
        </is>
      </c>
      <c r="D12" s="2" t="inlineStr">
        <is>
          <t>тон</t>
        </is>
      </c>
      <c r="E12" s="5" t="n">
        <v>0.221</v>
      </c>
      <c r="F12" s="5" t="n">
        <v>0.259</v>
      </c>
      <c r="G12" s="5" t="n">
        <v>0.038</v>
      </c>
      <c r="H12" s="2" t="inlineStr">
        <is>
          <t>1.146</t>
        </is>
      </c>
      <c r="I12" s="6" t="n">
        <v>0.9350000000000001</v>
      </c>
      <c r="J12" s="2" t="n">
        <v>197.5</v>
      </c>
      <c r="K12" s="2" t="n">
        <v>528</v>
      </c>
      <c r="L12" s="2" t="n">
        <v>3</v>
      </c>
      <c r="M12" s="2" t="n">
        <v>0.987</v>
      </c>
      <c r="N12" s="2" t="n">
        <v>0.694</v>
      </c>
      <c r="O12" s="2" t="inlineStr">
        <is>
          <t>187 / 398 / 601 / 796</t>
        </is>
      </c>
    </row>
    <row r="13">
      <c r="A13" s="2" t="n">
        <v>12</v>
      </c>
      <c r="B13" s="3" t="inlineStr">
        <is>
          <t>Н</t>
        </is>
      </c>
      <c r="C13" s="8" t="inlineStr">
        <is>
          <t>II · тон (гармоники+форманты)</t>
        </is>
      </c>
      <c r="D13" s="2" t="inlineStr">
        <is>
          <t>тон</t>
        </is>
      </c>
      <c r="E13" s="5" t="n">
        <v>0.224</v>
      </c>
      <c r="F13" s="5" t="n">
        <v>0.212</v>
      </c>
      <c r="G13" s="5" t="n">
        <v>0.012</v>
      </c>
      <c r="H13" s="2" t="inlineStr">
        <is>
          <t>1.392</t>
        </is>
      </c>
      <c r="I13" s="6" t="n">
        <v>0.748</v>
      </c>
      <c r="J13" s="2" t="n">
        <v>216.2</v>
      </c>
      <c r="K13" s="2" t="n">
        <v>639</v>
      </c>
      <c r="L13" s="2" t="n">
        <v>4</v>
      </c>
      <c r="M13" s="2" t="n">
        <v>0.899</v>
      </c>
      <c r="N13" s="2" t="n">
        <v>0.6879999999999999</v>
      </c>
      <c r="O13" s="2" t="inlineStr">
        <is>
          <t>210 / 421 / 640 / 851</t>
        </is>
      </c>
    </row>
    <row r="14">
      <c r="A14" s="2" t="n">
        <v>13</v>
      </c>
      <c r="B14" s="3" t="inlineStr">
        <is>
          <t>П</t>
        </is>
      </c>
      <c r="C14" s="8" t="inlineStr">
        <is>
          <t>II · тон (гармоники+форманты)</t>
        </is>
      </c>
      <c r="D14" s="2" t="inlineStr">
        <is>
          <t>тон</t>
        </is>
      </c>
      <c r="E14" s="5" t="n">
        <v>0.224</v>
      </c>
      <c r="F14" s="5" t="n">
        <v>0.299</v>
      </c>
      <c r="G14" s="5" t="n">
        <v>0.075</v>
      </c>
      <c r="H14" s="2" t="inlineStr">
        <is>
          <t>0.850</t>
        </is>
      </c>
      <c r="I14" s="6" t="n">
        <v>0.645</v>
      </c>
      <c r="J14" s="2" t="n">
        <v>200</v>
      </c>
      <c r="K14" s="2" t="n">
        <v>556</v>
      </c>
      <c r="L14" s="2" t="n">
        <v>3</v>
      </c>
      <c r="M14" s="2" t="n">
        <v>0.911</v>
      </c>
      <c r="N14" s="2" t="n">
        <v>0.395</v>
      </c>
      <c r="O14" s="2" t="inlineStr">
        <is>
          <t>195 / 390 / 593 / 781</t>
        </is>
      </c>
    </row>
    <row r="15">
      <c r="A15" s="2" t="n">
        <v>14</v>
      </c>
      <c r="B15" s="3" t="inlineStr">
        <is>
          <t>Тт</t>
        </is>
      </c>
      <c r="C15" s="8" t="inlineStr">
        <is>
          <t>II · тон (гармоники+форманты)</t>
        </is>
      </c>
      <c r="D15" s="2" t="inlineStr">
        <is>
          <t>тон</t>
        </is>
      </c>
      <c r="E15" s="5" t="n">
        <v>0.226</v>
      </c>
      <c r="F15" s="5" t="n">
        <v>0.383</v>
      </c>
      <c r="G15" s="9" t="n">
        <v>0.157</v>
      </c>
      <c r="H15" s="2" t="inlineStr">
        <is>
          <t>1.001</t>
        </is>
      </c>
      <c r="I15" s="6" t="n">
        <v>0.605</v>
      </c>
      <c r="J15" s="2" t="n">
        <v>213.3</v>
      </c>
      <c r="K15" s="2" t="n">
        <v>618</v>
      </c>
      <c r="L15" s="2" t="n">
        <v>3</v>
      </c>
      <c r="M15" s="2" t="n">
        <v>0.9399999999999999</v>
      </c>
      <c r="N15" s="2" t="n">
        <v>0.736</v>
      </c>
      <c r="O15" s="2" t="inlineStr">
        <is>
          <t>429 / 632 / 835 / 1054</t>
        </is>
      </c>
    </row>
    <row r="16">
      <c r="A16" s="2" t="n">
        <v>15</v>
      </c>
      <c r="B16" s="3" t="inlineStr">
        <is>
          <t>Р</t>
        </is>
      </c>
      <c r="C16" s="8" t="inlineStr">
        <is>
          <t>II · тон (гармоники+форманты)</t>
        </is>
      </c>
      <c r="D16" s="2" t="inlineStr">
        <is>
          <t>тон</t>
        </is>
      </c>
      <c r="E16" s="5" t="n">
        <v>0.281</v>
      </c>
      <c r="F16" s="5" t="n">
        <v>0.25</v>
      </c>
      <c r="G16" s="5" t="n">
        <v>0.031</v>
      </c>
      <c r="H16" s="2" t="inlineStr">
        <is>
          <t>0.728</t>
        </is>
      </c>
      <c r="I16" s="6" t="n">
        <v>0.835</v>
      </c>
      <c r="J16" s="2" t="n">
        <v>200</v>
      </c>
      <c r="K16" s="2" t="n">
        <v>576</v>
      </c>
      <c r="L16" s="2" t="n">
        <v>3</v>
      </c>
      <c r="M16" s="2" t="n">
        <v>0.9399999999999999</v>
      </c>
      <c r="N16" s="2" t="n">
        <v>0.583</v>
      </c>
      <c r="O16" s="2" t="inlineStr">
        <is>
          <t>187 / 390 / 585 / 789</t>
        </is>
      </c>
    </row>
    <row r="17">
      <c r="A17" s="2" t="n">
        <v>16</v>
      </c>
      <c r="B17" s="3" t="inlineStr">
        <is>
          <t>К</t>
        </is>
      </c>
      <c r="C17" s="8" t="inlineStr">
        <is>
          <t>II · тон (гармоники+форманты)</t>
        </is>
      </c>
      <c r="D17" s="2" t="inlineStr">
        <is>
          <t>переход</t>
        </is>
      </c>
      <c r="E17" s="5" t="n">
        <v>0.288</v>
      </c>
      <c r="F17" s="5" t="n">
        <v>0.296</v>
      </c>
      <c r="G17" s="5" t="n">
        <v>0.008</v>
      </c>
      <c r="H17" s="2" t="inlineStr">
        <is>
          <t>0.888</t>
        </is>
      </c>
      <c r="I17" s="6" t="n">
        <v>0.45</v>
      </c>
      <c r="J17" s="2" t="n">
        <v>205.1</v>
      </c>
      <c r="K17" s="2" t="n">
        <v>770</v>
      </c>
      <c r="L17" s="2" t="n">
        <v>4</v>
      </c>
      <c r="M17" s="2" t="n">
        <v>0.8110000000000001</v>
      </c>
      <c r="N17" s="2" t="n">
        <v>0.778</v>
      </c>
      <c r="O17" s="2" t="inlineStr">
        <is>
          <t>406 / 625 / 828 / 1015</t>
        </is>
      </c>
    </row>
    <row r="18">
      <c r="A18" s="2" t="n">
        <v>17</v>
      </c>
      <c r="B18" s="3" t="inlineStr">
        <is>
          <t>В</t>
        </is>
      </c>
      <c r="C18" s="8" t="inlineStr">
        <is>
          <t>II · тон (гармоники+форманты)</t>
        </is>
      </c>
      <c r="D18" s="2" t="inlineStr">
        <is>
          <t>тон</t>
        </is>
      </c>
      <c r="E18" s="5" t="n">
        <v>0.304</v>
      </c>
      <c r="F18" s="5" t="n">
        <v>0.396</v>
      </c>
      <c r="G18" s="5" t="n">
        <v>0.092</v>
      </c>
      <c r="H18" s="2" t="inlineStr">
        <is>
          <t>0.826</t>
        </is>
      </c>
      <c r="I18" s="6" t="n">
        <v>0.84</v>
      </c>
      <c r="J18" s="2" t="n">
        <v>188.2</v>
      </c>
      <c r="K18" s="2" t="n">
        <v>548</v>
      </c>
      <c r="L18" s="2" t="n">
        <v>3</v>
      </c>
      <c r="M18" s="2" t="n">
        <v>0.987</v>
      </c>
      <c r="N18" s="2" t="n">
        <v>0.599</v>
      </c>
      <c r="O18" s="2" t="inlineStr">
        <is>
          <t>187 / 367 / 554 / 734</t>
        </is>
      </c>
    </row>
    <row r="19">
      <c r="A19" s="2" t="n">
        <v>18</v>
      </c>
      <c r="B19" s="3" t="inlineStr">
        <is>
          <t>Л</t>
        </is>
      </c>
      <c r="C19" s="8" t="inlineStr">
        <is>
          <t>II · тон (гармоники+форманты)</t>
        </is>
      </c>
      <c r="D19" s="2" t="inlineStr">
        <is>
          <t>тон</t>
        </is>
      </c>
      <c r="E19" s="5" t="n">
        <v>0.316</v>
      </c>
      <c r="F19" s="5" t="n">
        <v>0.352</v>
      </c>
      <c r="G19" s="5" t="n">
        <v>0.036</v>
      </c>
      <c r="H19" s="2" t="inlineStr">
        <is>
          <t>0.861</t>
        </is>
      </c>
      <c r="I19" s="6" t="n">
        <v>0.727</v>
      </c>
      <c r="J19" s="2" t="n">
        <v>200</v>
      </c>
      <c r="K19" s="2" t="n">
        <v>643</v>
      </c>
      <c r="L19" s="2" t="n">
        <v>4</v>
      </c>
      <c r="M19" s="2" t="n">
        <v>0.969</v>
      </c>
      <c r="N19" s="2" t="n">
        <v>0.8100000000000001</v>
      </c>
      <c r="O19" s="2" t="inlineStr">
        <is>
          <t>187 / 382 / 585 / 789</t>
        </is>
      </c>
    </row>
    <row r="20">
      <c r="A20" s="2" t="n">
        <v>19</v>
      </c>
      <c r="B20" s="3" t="inlineStr">
        <is>
          <t>З</t>
        </is>
      </c>
      <c r="C20" s="8" t="inlineStr">
        <is>
          <t>II · тон (гармоники+форманты)</t>
        </is>
      </c>
      <c r="D20" s="2" t="inlineStr">
        <is>
          <t>тон</t>
        </is>
      </c>
      <c r="E20" s="5" t="n">
        <v>0.318</v>
      </c>
      <c r="F20" s="5" t="n">
        <v>0.36</v>
      </c>
      <c r="G20" s="5" t="n">
        <v>0.042</v>
      </c>
      <c r="H20" s="2" t="inlineStr">
        <is>
          <t>0.927</t>
        </is>
      </c>
      <c r="I20" s="6" t="n">
        <v>0.742</v>
      </c>
      <c r="J20" s="2" t="n">
        <v>190.5</v>
      </c>
      <c r="K20" s="2" t="n">
        <v>631</v>
      </c>
      <c r="L20" s="2" t="n">
        <v>3</v>
      </c>
      <c r="M20" s="2" t="n">
        <v>0.996</v>
      </c>
      <c r="N20" s="2" t="n">
        <v>0.469</v>
      </c>
      <c r="O20" s="2" t="inlineStr">
        <is>
          <t>375 / 562 / 718 / 1945</t>
        </is>
      </c>
    </row>
    <row r="21">
      <c r="A21" s="2" t="n">
        <v>20</v>
      </c>
      <c r="B21" s="3" t="inlineStr">
        <is>
          <t>Ё протяжное</t>
        </is>
      </c>
      <c r="C21" s="8" t="inlineStr">
        <is>
          <t>II · тон (гармоники+форманты)</t>
        </is>
      </c>
      <c r="D21" s="2" t="inlineStr">
        <is>
          <t>тон</t>
        </is>
      </c>
      <c r="E21" s="5" t="n">
        <v>0.326</v>
      </c>
      <c r="F21" s="5" t="n">
        <v>0.318</v>
      </c>
      <c r="G21" s="5" t="n">
        <v>0.008</v>
      </c>
      <c r="H21" s="2" t="inlineStr">
        <is>
          <t>0.852</t>
        </is>
      </c>
      <c r="I21" s="6" t="n">
        <v>0.761</v>
      </c>
      <c r="J21" s="2" t="n">
        <v>181.8</v>
      </c>
      <c r="K21" s="2" t="n">
        <v>560</v>
      </c>
      <c r="L21" s="2" t="n">
        <v>4</v>
      </c>
      <c r="M21" s="2" t="n">
        <v>0.978</v>
      </c>
      <c r="N21" s="2" t="n">
        <v>0.262</v>
      </c>
      <c r="O21" s="2" t="inlineStr">
        <is>
          <t>179 / 375 / 546 / 718</t>
        </is>
      </c>
    </row>
    <row r="22">
      <c r="A22" s="2" t="n">
        <v>21</v>
      </c>
      <c r="B22" s="3" t="inlineStr">
        <is>
          <t>М</t>
        </is>
      </c>
      <c r="C22" s="8" t="inlineStr">
        <is>
          <t>II · тон (гармоники+форманты)</t>
        </is>
      </c>
      <c r="D22" s="2" t="inlineStr">
        <is>
          <t>тон</t>
        </is>
      </c>
      <c r="E22" s="5" t="n">
        <v>0.33</v>
      </c>
      <c r="F22" s="5" t="n">
        <v>0.384</v>
      </c>
      <c r="G22" s="5" t="n">
        <v>0.054</v>
      </c>
      <c r="H22" s="2" t="inlineStr">
        <is>
          <t>0.886</t>
        </is>
      </c>
      <c r="I22" s="6" t="n">
        <v>0.754</v>
      </c>
      <c r="J22" s="2" t="n">
        <v>197.5</v>
      </c>
      <c r="K22" s="2" t="n">
        <v>623</v>
      </c>
      <c r="L22" s="2" t="n">
        <v>4</v>
      </c>
      <c r="M22" s="2" t="n">
        <v>0.976</v>
      </c>
      <c r="N22" s="2" t="n">
        <v>0.766</v>
      </c>
      <c r="O22" s="2" t="inlineStr">
        <is>
          <t>187 / 375 / 578 / 773</t>
        </is>
      </c>
    </row>
    <row r="23">
      <c r="A23" s="2" t="n">
        <v>22</v>
      </c>
      <c r="B23" s="3" t="inlineStr">
        <is>
          <t>А</t>
        </is>
      </c>
      <c r="C23" s="10" t="inlineStr">
        <is>
          <t>III · сложный тон / переход</t>
        </is>
      </c>
      <c r="D23" s="2" t="inlineStr">
        <is>
          <t>тон</t>
        </is>
      </c>
      <c r="E23" s="5" t="n">
        <v>0.35</v>
      </c>
      <c r="F23" s="5" t="n">
        <v>0.383</v>
      </c>
      <c r="G23" s="5" t="n">
        <v>0.033</v>
      </c>
      <c r="H23" s="2" t="inlineStr">
        <is>
          <t>1.396</t>
        </is>
      </c>
      <c r="I23" s="6" t="n">
        <v>0.597</v>
      </c>
      <c r="J23" s="2" t="n">
        <v>210.5</v>
      </c>
      <c r="K23" s="2" t="n">
        <v>877</v>
      </c>
      <c r="L23" s="2" t="n">
        <v>4</v>
      </c>
      <c r="M23" s="2" t="n">
        <v>0.766</v>
      </c>
      <c r="N23" s="2" t="n">
        <v>0.677</v>
      </c>
      <c r="O23" s="2" t="inlineStr">
        <is>
          <t>625 / 835 / 1054 / 1257</t>
        </is>
      </c>
    </row>
    <row r="24">
      <c r="A24" s="2" t="n">
        <v>23</v>
      </c>
      <c r="B24" s="3" t="inlineStr">
        <is>
          <t>Е протяжная</t>
        </is>
      </c>
      <c r="C24" s="10" t="inlineStr">
        <is>
          <t>III · сложный тон / переход</t>
        </is>
      </c>
      <c r="D24" s="2" t="inlineStr">
        <is>
          <t>тон</t>
        </is>
      </c>
      <c r="E24" s="5" t="n">
        <v>0.35</v>
      </c>
      <c r="F24" s="5" t="n">
        <v>0.318</v>
      </c>
      <c r="G24" s="5" t="n">
        <v>0.032</v>
      </c>
      <c r="H24" s="2" t="inlineStr">
        <is>
          <t>1.357</t>
        </is>
      </c>
      <c r="I24" s="6" t="n">
        <v>0.9399999999999999</v>
      </c>
      <c r="J24" s="2" t="n">
        <v>177.8</v>
      </c>
      <c r="K24" s="2" t="n">
        <v>590</v>
      </c>
      <c r="L24" s="2" t="n">
        <v>3</v>
      </c>
      <c r="M24" s="2" t="n">
        <v>0.962</v>
      </c>
      <c r="N24" s="2" t="n">
        <v>0.374</v>
      </c>
      <c r="O24" s="2" t="inlineStr">
        <is>
          <t>179 / 359 / 523 / 3015</t>
        </is>
      </c>
    </row>
    <row r="25">
      <c r="A25" s="2" t="n">
        <v>24</v>
      </c>
      <c r="B25" s="3" t="inlineStr">
        <is>
          <t>Я</t>
        </is>
      </c>
      <c r="C25" s="10" t="inlineStr">
        <is>
          <t>III · сложный тон / переход</t>
        </is>
      </c>
      <c r="D25" s="2" t="inlineStr">
        <is>
          <t>тон</t>
        </is>
      </c>
      <c r="E25" s="5" t="n">
        <v>0.362</v>
      </c>
      <c r="F25" s="5" t="n">
        <v>0.413</v>
      </c>
      <c r="G25" s="5" t="n">
        <v>0.051</v>
      </c>
      <c r="H25" s="2" t="inlineStr">
        <is>
          <t>0.851</t>
        </is>
      </c>
      <c r="I25" s="6" t="n">
        <v>0.451</v>
      </c>
      <c r="J25" s="2" t="n">
        <v>210.5</v>
      </c>
      <c r="K25" s="2" t="n">
        <v>791</v>
      </c>
      <c r="L25" s="2" t="n">
        <v>4</v>
      </c>
      <c r="M25" s="2" t="n">
        <v>0.911</v>
      </c>
      <c r="N25" s="2" t="n">
        <v>0.296</v>
      </c>
      <c r="O25" s="2" t="inlineStr">
        <is>
          <t>195 / 429 / 625 / 820</t>
        </is>
      </c>
    </row>
    <row r="26">
      <c r="A26" s="2" t="n">
        <v>25</v>
      </c>
      <c r="B26" s="3" t="inlineStr">
        <is>
          <t>Ы</t>
        </is>
      </c>
      <c r="C26" s="10" t="inlineStr">
        <is>
          <t>III · сложный тон / переход</t>
        </is>
      </c>
      <c r="D26" s="2" t="inlineStr">
        <is>
          <t>тон</t>
        </is>
      </c>
      <c r="E26" s="5" t="n">
        <v>0.363</v>
      </c>
      <c r="F26" s="5" t="n">
        <v>0.589</v>
      </c>
      <c r="G26" s="9" t="n">
        <v>0.226</v>
      </c>
      <c r="H26" s="2" t="inlineStr">
        <is>
          <t>0.861</t>
        </is>
      </c>
      <c r="I26" s="6" t="n">
        <v>0.492</v>
      </c>
      <c r="J26" s="2" t="n">
        <v>202.5</v>
      </c>
      <c r="K26" s="2" t="n">
        <v>539</v>
      </c>
      <c r="L26" s="2" t="n">
        <v>3</v>
      </c>
      <c r="M26" s="2" t="n">
        <v>0.982</v>
      </c>
      <c r="N26" s="2" t="n">
        <v>0.349</v>
      </c>
      <c r="O26" s="2" t="inlineStr">
        <is>
          <t>187 / 398 / 2632 / 3093</t>
        </is>
      </c>
    </row>
    <row r="27">
      <c r="A27" s="2" t="n">
        <v>26</v>
      </c>
      <c r="B27" s="3" t="inlineStr">
        <is>
          <t>Ф</t>
        </is>
      </c>
      <c r="C27" s="10" t="inlineStr">
        <is>
          <t>III · сложный тон / переход</t>
        </is>
      </c>
      <c r="D27" s="2" t="inlineStr">
        <is>
          <t>тон</t>
        </is>
      </c>
      <c r="E27" s="5" t="n">
        <v>0.407</v>
      </c>
      <c r="F27" s="5" t="n">
        <v>0.353</v>
      </c>
      <c r="G27" s="5" t="n">
        <v>0.054</v>
      </c>
      <c r="H27" s="2" t="inlineStr">
        <is>
          <t>1.152</t>
        </is>
      </c>
      <c r="I27" s="6" t="n">
        <v>0.787</v>
      </c>
      <c r="J27" s="2" t="n">
        <v>197.5</v>
      </c>
      <c r="K27" s="2" t="n">
        <v>710</v>
      </c>
      <c r="L27" s="2" t="n">
        <v>4</v>
      </c>
      <c r="M27" s="2" t="n">
        <v>0.9419999999999999</v>
      </c>
      <c r="N27" s="2" t="n">
        <v>0.617</v>
      </c>
      <c r="O27" s="2" t="inlineStr">
        <is>
          <t>406 / 585 / 781 / 1984</t>
        </is>
      </c>
    </row>
    <row r="28">
      <c r="A28" s="2" t="n">
        <v>27</v>
      </c>
      <c r="B28" s="3" t="inlineStr">
        <is>
          <t>Ю</t>
        </is>
      </c>
      <c r="C28" s="10" t="inlineStr">
        <is>
          <t>III · сложный тон / переход</t>
        </is>
      </c>
      <c r="D28" s="2" t="inlineStr">
        <is>
          <t>тон</t>
        </is>
      </c>
      <c r="E28" s="5" t="n">
        <v>0.411</v>
      </c>
      <c r="F28" s="5" t="n">
        <v>0.43</v>
      </c>
      <c r="G28" s="5" t="n">
        <v>0.019</v>
      </c>
      <c r="H28" s="2" t="inlineStr">
        <is>
          <t>0.765</t>
        </is>
      </c>
      <c r="I28" s="6" t="n">
        <v>0.6830000000000001</v>
      </c>
      <c r="J28" s="2" t="n">
        <v>225.4</v>
      </c>
      <c r="K28" s="2" t="n">
        <v>562</v>
      </c>
      <c r="L28" s="2" t="n">
        <v>3</v>
      </c>
      <c r="M28" s="2" t="n">
        <v>0.944</v>
      </c>
      <c r="N28" s="2" t="n">
        <v>0.249</v>
      </c>
      <c r="O28" s="2" t="inlineStr">
        <is>
          <t>218 / 453 / 789 / 5421</t>
        </is>
      </c>
    </row>
    <row r="29">
      <c r="A29" s="2" t="n">
        <v>28</v>
      </c>
      <c r="B29" s="3" t="inlineStr">
        <is>
          <t>А протяжная</t>
        </is>
      </c>
      <c r="C29" s="10" t="inlineStr">
        <is>
          <t>III · сложный тон / переход</t>
        </is>
      </c>
      <c r="D29" s="2" t="inlineStr">
        <is>
          <t>тон</t>
        </is>
      </c>
      <c r="E29" s="5" t="n">
        <v>0.432</v>
      </c>
      <c r="F29" s="5" t="n">
        <v>0.394</v>
      </c>
      <c r="G29" s="5" t="n">
        <v>0.038</v>
      </c>
      <c r="H29" s="2" t="inlineStr">
        <is>
          <t>0.559</t>
        </is>
      </c>
      <c r="I29" s="6" t="n">
        <v>0.843</v>
      </c>
      <c r="J29" s="2" t="n">
        <v>175.8</v>
      </c>
      <c r="K29" s="2" t="n">
        <v>562</v>
      </c>
      <c r="L29" s="2" t="n">
        <v>4</v>
      </c>
      <c r="M29" s="2" t="n">
        <v>0.914</v>
      </c>
      <c r="N29" s="2" t="n">
        <v>0.6820000000000001</v>
      </c>
      <c r="O29" s="2" t="inlineStr">
        <is>
          <t>187 / 718 / 898 / 1070</t>
        </is>
      </c>
    </row>
    <row r="30">
      <c r="A30" s="2" t="n">
        <v>29</v>
      </c>
      <c r="B30" s="3" t="inlineStr">
        <is>
          <t>Я протяжное</t>
        </is>
      </c>
      <c r="C30" s="10" t="inlineStr">
        <is>
          <t>III · сложный тон / переход</t>
        </is>
      </c>
      <c r="D30" s="2" t="inlineStr">
        <is>
          <t>тон</t>
        </is>
      </c>
      <c r="E30" s="5" t="n">
        <v>0.454</v>
      </c>
      <c r="F30" s="5" t="n">
        <v>0.446</v>
      </c>
      <c r="G30" s="5" t="n">
        <v>0.008</v>
      </c>
      <c r="H30" s="2" t="inlineStr">
        <is>
          <t>1.061</t>
        </is>
      </c>
      <c r="I30" s="6" t="n">
        <v>0.9320000000000001</v>
      </c>
      <c r="J30" s="2" t="n">
        <v>190.5</v>
      </c>
      <c r="K30" s="2" t="n">
        <v>796</v>
      </c>
      <c r="L30" s="2" t="n">
        <v>4</v>
      </c>
      <c r="M30" s="2" t="n">
        <v>0.907</v>
      </c>
      <c r="N30" s="2" t="n">
        <v>0.398</v>
      </c>
      <c r="O30" s="2" t="inlineStr">
        <is>
          <t>382 / 585 / 765 / 1515</t>
        </is>
      </c>
    </row>
    <row r="31">
      <c r="A31" s="2" t="n">
        <v>30</v>
      </c>
      <c r="B31" s="3" t="inlineStr">
        <is>
          <t>Ц</t>
        </is>
      </c>
      <c r="C31" s="10" t="inlineStr">
        <is>
          <t>III · сложный тон / переход</t>
        </is>
      </c>
      <c r="D31" s="2" t="inlineStr">
        <is>
          <t>тон</t>
        </is>
      </c>
      <c r="E31" s="5" t="n">
        <v>0.492</v>
      </c>
      <c r="F31" s="5" t="n">
        <v>0.615</v>
      </c>
      <c r="G31" s="9" t="n">
        <v>0.123</v>
      </c>
      <c r="H31" s="2" t="inlineStr">
        <is>
          <t>0.398</t>
        </is>
      </c>
      <c r="I31" s="6" t="n">
        <v>0.545</v>
      </c>
      <c r="J31" s="2" t="n">
        <v>197.5</v>
      </c>
      <c r="K31" s="2" t="n">
        <v>795</v>
      </c>
      <c r="L31" s="2" t="n">
        <v>4</v>
      </c>
      <c r="M31" s="2" t="n">
        <v>0.98</v>
      </c>
      <c r="N31" s="2" t="n">
        <v>0.358</v>
      </c>
      <c r="O31" s="2" t="inlineStr">
        <is>
          <t>203 / 406 / 593 / 765</t>
        </is>
      </c>
    </row>
    <row r="32">
      <c r="A32" s="2" t="n">
        <v>31</v>
      </c>
      <c r="B32" s="3" t="inlineStr">
        <is>
          <t>Ж</t>
        </is>
      </c>
      <c r="C32" s="11" t="inlineStr">
        <is>
          <t>IV · шероховатый переход</t>
        </is>
      </c>
      <c r="D32" s="2" t="inlineStr">
        <is>
          <t>тон</t>
        </is>
      </c>
      <c r="E32" s="5" t="n">
        <v>0.623</v>
      </c>
      <c r="F32" s="5" t="n">
        <v>0.64</v>
      </c>
      <c r="G32" s="5" t="n">
        <v>0.017</v>
      </c>
      <c r="H32" s="2" t="inlineStr">
        <is>
          <t>0.629</t>
        </is>
      </c>
      <c r="I32" s="6" t="n">
        <v>0.66</v>
      </c>
      <c r="J32" s="2" t="n">
        <v>183.9</v>
      </c>
      <c r="K32" s="2" t="n">
        <v>1112</v>
      </c>
      <c r="L32" s="2" t="n">
        <v>6</v>
      </c>
      <c r="M32" s="2" t="n">
        <v>0.991</v>
      </c>
      <c r="N32" s="2" t="n">
        <v>0.08500000000000001</v>
      </c>
      <c r="O32" s="2" t="inlineStr">
        <is>
          <t>179 / 359 / 554 / 726</t>
        </is>
      </c>
    </row>
    <row r="33">
      <c r="A33" s="2" t="n">
        <v>32</v>
      </c>
      <c r="B33" s="3" t="inlineStr">
        <is>
          <t>Ч</t>
        </is>
      </c>
      <c r="C33" s="11" t="inlineStr">
        <is>
          <t>IV · шероховатый переход</t>
        </is>
      </c>
      <c r="D33" s="2" t="inlineStr">
        <is>
          <t>переход</t>
        </is>
      </c>
      <c r="E33" s="5" t="n">
        <v>0.644</v>
      </c>
      <c r="F33" s="5" t="n">
        <v>0.706</v>
      </c>
      <c r="G33" s="5" t="n">
        <v>0.062</v>
      </c>
      <c r="H33" s="2" t="inlineStr">
        <is>
          <t>0.190</t>
        </is>
      </c>
      <c r="I33" s="6" t="n">
        <v>0.435</v>
      </c>
      <c r="J33" s="2" t="n">
        <v>216.2</v>
      </c>
      <c r="K33" s="2" t="n">
        <v>1435</v>
      </c>
      <c r="L33" s="2" t="n">
        <v>4</v>
      </c>
      <c r="M33" s="2" t="n">
        <v>0.969</v>
      </c>
      <c r="N33" s="2" t="n">
        <v>0.054</v>
      </c>
      <c r="O33" s="2" t="inlineStr">
        <is>
          <t>226 / 437 / 5507 / 5750</t>
        </is>
      </c>
    </row>
    <row r="34">
      <c r="A34" s="2" t="n">
        <v>33</v>
      </c>
      <c r="B34" s="3" t="inlineStr">
        <is>
          <t>Х</t>
        </is>
      </c>
      <c r="C34" s="11" t="inlineStr">
        <is>
          <t>IV · шероховатый переход</t>
        </is>
      </c>
      <c r="D34" s="2" t="inlineStr">
        <is>
          <t>тон</t>
        </is>
      </c>
      <c r="E34" s="5" t="n">
        <v>0.672</v>
      </c>
      <c r="F34" s="5" t="n">
        <v>0.77</v>
      </c>
      <c r="G34" s="5" t="n">
        <v>0.098</v>
      </c>
      <c r="H34" s="2" t="inlineStr">
        <is>
          <t>0.842</t>
        </is>
      </c>
      <c r="I34" s="6" t="n">
        <v>0.463</v>
      </c>
      <c r="J34" s="2" t="n">
        <v>222.2</v>
      </c>
      <c r="K34" s="2" t="n">
        <v>1835</v>
      </c>
      <c r="L34" s="2" t="n">
        <v>6</v>
      </c>
      <c r="M34" s="2" t="n">
        <v>0.986</v>
      </c>
      <c r="N34" s="2" t="n">
        <v>0.479</v>
      </c>
      <c r="O34" s="2" t="inlineStr">
        <is>
          <t>203 / 421 / 648 / 867</t>
        </is>
      </c>
    </row>
    <row r="35">
      <c r="A35" s="2" t="n">
        <v>34</v>
      </c>
      <c r="B35" s="3" t="inlineStr">
        <is>
          <t>Ш</t>
        </is>
      </c>
      <c r="C35" s="11" t="inlineStr">
        <is>
          <t>IV · шероховатый переход</t>
        </is>
      </c>
      <c r="D35" s="2" t="inlineStr">
        <is>
          <t>переход</t>
        </is>
      </c>
      <c r="E35" s="5" t="n">
        <v>0.755</v>
      </c>
      <c r="F35" s="5" t="n">
        <v>0.752</v>
      </c>
      <c r="G35" s="5" t="n">
        <v>0.003</v>
      </c>
      <c r="H35" s="2" t="inlineStr">
        <is>
          <t>0.243</t>
        </is>
      </c>
      <c r="I35" s="6" t="n">
        <v>0.331</v>
      </c>
      <c r="J35" s="2" t="n">
        <v>197.5</v>
      </c>
      <c r="K35" s="2" t="n">
        <v>1764</v>
      </c>
      <c r="L35" s="2" t="n">
        <v>5</v>
      </c>
      <c r="M35" s="2" t="n">
        <v>0.991</v>
      </c>
      <c r="N35" s="2" t="n">
        <v>0.129</v>
      </c>
      <c r="O35" s="2" t="inlineStr">
        <is>
          <t>203 / 398 / 593 / 750</t>
        </is>
      </c>
    </row>
    <row r="36">
      <c r="A36" s="2" t="n">
        <v>35</v>
      </c>
      <c r="B36" s="3" t="inlineStr">
        <is>
          <t>Щ</t>
        </is>
      </c>
      <c r="C36" s="11" t="inlineStr">
        <is>
          <t>IV · шероховатый переход</t>
        </is>
      </c>
      <c r="D36" s="2" t="inlineStr">
        <is>
          <t>переход</t>
        </is>
      </c>
      <c r="E36" s="5" t="n">
        <v>0.894</v>
      </c>
      <c r="F36" s="5" t="n">
        <v>0.891</v>
      </c>
      <c r="G36" s="5" t="n">
        <v>0.003</v>
      </c>
      <c r="H36" s="2" t="inlineStr">
        <is>
          <t>0.265</t>
        </is>
      </c>
      <c r="I36" s="6" t="n">
        <v>0.22</v>
      </c>
      <c r="J36" s="2" t="inlineStr">
        <is>
          <t>—</t>
        </is>
      </c>
      <c r="K36" s="2" t="n">
        <v>2946</v>
      </c>
      <c r="L36" s="2" t="n">
        <v>5</v>
      </c>
      <c r="M36" s="2" t="n">
        <v>0.983</v>
      </c>
      <c r="N36" s="2" t="n">
        <v>0.097</v>
      </c>
      <c r="O36" s="2" t="inlineStr">
        <is>
          <t>203 / 398 / 617 / 781</t>
        </is>
      </c>
    </row>
    <row r="37">
      <c r="A37" s="2" t="n">
        <v>36</v>
      </c>
      <c r="B37" s="3" t="inlineStr">
        <is>
          <t>Щ протяжное</t>
        </is>
      </c>
      <c r="C37" s="12" t="inlineStr">
        <is>
          <t>V · шум (мультифрактал)</t>
        </is>
      </c>
      <c r="D37" s="2" t="inlineStr">
        <is>
          <t>шум</t>
        </is>
      </c>
      <c r="E37" s="5" t="n">
        <v>1.06</v>
      </c>
      <c r="F37" s="5" t="n">
        <v>1.062</v>
      </c>
      <c r="G37" s="5" t="n">
        <v>0.002</v>
      </c>
      <c r="H37" s="2" t="inlineStr">
        <is>
          <t>0.300</t>
        </is>
      </c>
      <c r="I37" s="6" t="n">
        <v>0.06</v>
      </c>
      <c r="J37" s="2" t="inlineStr">
        <is>
          <t>—</t>
        </is>
      </c>
      <c r="K37" s="2" t="n">
        <v>6201</v>
      </c>
      <c r="L37" s="2" t="n">
        <v>1</v>
      </c>
      <c r="M37" s="2" t="n">
        <v>0.978</v>
      </c>
      <c r="N37" s="2" t="n">
        <v>0.22</v>
      </c>
      <c r="O37" s="2" t="inlineStr">
        <is>
          <t>6562 / 6656 / 6781 / 6890</t>
        </is>
      </c>
    </row>
    <row r="38">
      <c r="A38" s="2" t="n">
        <v>37</v>
      </c>
      <c r="B38" s="3" t="inlineStr">
        <is>
          <t>С протяжное</t>
        </is>
      </c>
      <c r="C38" s="12" t="inlineStr">
        <is>
          <t>V · шум (мультифрактал)</t>
        </is>
      </c>
      <c r="D38" s="2" t="inlineStr">
        <is>
          <t>шум</t>
        </is>
      </c>
      <c r="E38" s="5" t="n">
        <v>1.063</v>
      </c>
      <c r="F38" s="5" t="n">
        <v>1.06</v>
      </c>
      <c r="G38" s="5" t="n">
        <v>0.003</v>
      </c>
      <c r="H38" s="2" t="inlineStr">
        <is>
          <t>0.538</t>
        </is>
      </c>
      <c r="I38" s="6" t="n">
        <v>0.08699999999999999</v>
      </c>
      <c r="J38" s="2" t="inlineStr">
        <is>
          <t>—</t>
        </is>
      </c>
      <c r="K38" s="2" t="n">
        <v>6614</v>
      </c>
      <c r="L38" s="2" t="n">
        <v>1</v>
      </c>
      <c r="M38" s="2" t="n">
        <v>0.963</v>
      </c>
      <c r="N38" s="2" t="n">
        <v>0</v>
      </c>
      <c r="O38" s="2" t="inlineStr">
        <is>
          <t>6312 / 6375 / 6539 / 7476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8" customWidth="1" min="2" max="2"/>
  </cols>
  <sheetData>
    <row r="1">
      <c r="A1" s="13" t="inlineStr">
        <is>
          <t>ФРАКТАЛЬНАЯ КАРТА БУКВИЦЫ — V3</t>
        </is>
      </c>
      <c r="B1" s="14" t="inlineStr"/>
    </row>
    <row r="2">
      <c r="A2" s="14" t="inlineStr">
        <is>
          <t>Источник</t>
        </is>
      </c>
      <c r="B2" s="14" t="inlineStr">
        <is>
          <t>37 живых записей: Тринити_V3/данные/алфавит/*.m4a</t>
        </is>
      </c>
    </row>
    <row r="3">
      <c r="A3" s="14" t="inlineStr">
        <is>
          <t>Метод</t>
        </is>
      </c>
      <c r="B3" s="14" t="inlineStr">
        <is>
          <t>ffmpeg→16кГц моно; Welch-спектр; автокорреляция (f0, гармоничность);</t>
        </is>
      </c>
    </row>
    <row r="4">
      <c r="A4" s="14" t="inlineStr"/>
      <c r="B4" s="14" t="inlineStr">
        <is>
          <t>фрактальная размерность Хигучи; MFDFA (ширина спектра сингулярностей Δα); 7 октавных полос.</t>
        </is>
      </c>
    </row>
    <row r="5">
      <c r="A5" s="14" t="inlineStr"/>
      <c r="B5" s="14" t="inlineStr"/>
    </row>
    <row r="6">
      <c r="A6" s="14" t="inlineStr">
        <is>
          <t>✅ ВАЛИДАЦИЯ ROUND-TRIP</t>
        </is>
      </c>
      <c r="B6" s="14" t="inlineStr">
        <is>
          <t>корреляция FD ориг↔ресинтез r = 0.974; средняя ошибка MAE = 0.043; семейство сохранено 30/37.</t>
        </is>
      </c>
    </row>
    <row r="7">
      <c r="A7" s="14" t="inlineStr"/>
      <c r="B7" s="14" t="inlineStr">
        <is>
          <t>Ресинтез: магнитудный спектр сохранён, фаза когерентна (тон) или случайна (шум).</t>
        </is>
      </c>
    </row>
    <row r="8">
      <c r="A8" s="14" t="inlineStr"/>
      <c r="B8" s="14" t="inlineStr">
        <is>
          <t>Вывод: FD — реальная координата, переносимая образом, а не артефакт измерения.</t>
        </is>
      </c>
    </row>
    <row r="9">
      <c r="A9" s="14" t="inlineStr"/>
      <c r="B9" s="14" t="inlineStr"/>
    </row>
    <row r="10">
      <c r="A10" s="14" t="inlineStr">
        <is>
          <t>ГЛАВНЫЙ РЕЗУЛЬТАТ</t>
        </is>
      </c>
      <c r="B10" s="14" t="inlineStr">
        <is>
          <t>FD Хигучи выстраивает буквицу в непрерывный спектр 0.05→1.06, зеркальный гармоничности.</t>
        </is>
      </c>
    </row>
    <row r="11">
      <c r="A11" s="14" t="inlineStr"/>
      <c r="B11" s="14" t="inlineStr">
        <is>
          <t>Это измеримая ось вложенности — кандидат в новую букву канона со своим критерием приёмки.</t>
        </is>
      </c>
    </row>
    <row r="12">
      <c r="A12" s="14" t="inlineStr"/>
      <c r="B12" s="14" t="inlineStr"/>
    </row>
    <row r="13">
      <c r="A13" s="14" t="inlineStr">
        <is>
          <t>Семейство I</t>
        </is>
      </c>
      <c r="B13" s="14" t="inlineStr">
        <is>
          <t>FD&lt;0.15 — чистый тон, почти периодика (У,О,И): гармоники в огибающей формант</t>
        </is>
      </c>
    </row>
    <row r="14">
      <c r="A14" s="14" t="inlineStr">
        <is>
          <t>Семейство II</t>
        </is>
      </c>
      <c r="B14" s="14" t="inlineStr">
        <is>
          <t>FD 0.15–0.35 — тон с богатой структурой (Д,Г,Э,Н,Б,Тт)</t>
        </is>
      </c>
    </row>
    <row r="15">
      <c r="A15" s="14" t="inlineStr">
        <is>
          <t>Семейство III</t>
        </is>
      </c>
      <c r="B15" s="14" t="inlineStr">
        <is>
          <t>FD 0.35–0.60 — сложный тон/переход (А,Ф,Ц,Я,Ы)</t>
        </is>
      </c>
    </row>
    <row r="16">
      <c r="A16" s="14" t="inlineStr">
        <is>
          <t>Семейство IV</t>
        </is>
      </c>
      <c r="B16" s="14" t="inlineStr">
        <is>
          <t>FD 0.60–0.90 — шероховатый переход (Ж,Ч,Х,Ш,Щ)</t>
        </is>
      </c>
    </row>
    <row r="17">
      <c r="A17" s="14" t="inlineStr">
        <is>
          <t>Семейство V</t>
        </is>
      </c>
      <c r="B17" s="14" t="inlineStr">
        <is>
          <t>FD&gt;0.90 — широкополосный шум, мультифрактал (С прот., Щ прот.)</t>
        </is>
      </c>
    </row>
    <row r="18">
      <c r="A18" s="14" t="inlineStr"/>
      <c r="B18" s="14" t="inlineStr"/>
    </row>
    <row r="19">
      <c r="A19" s="14" t="inlineStr">
        <is>
          <t>* про Δα</t>
        </is>
      </c>
      <c r="B19" s="14" t="inlineStr">
        <is>
          <t>MFDFA даёт корректный Δα на непериодичных звуках (шум/переход).</t>
        </is>
      </c>
    </row>
    <row r="20">
      <c r="A20" s="14" t="inlineStr"/>
      <c r="B20" s="14" t="inlineStr">
        <is>
          <t>На чистых периодичных гласных Δα взрывается (&gt;2) — известный артефакт метода:</t>
        </is>
      </c>
    </row>
    <row r="21">
      <c r="A21" s="14" t="inlineStr"/>
      <c r="B21" s="14" t="inlineStr">
        <is>
          <t>отрицательные моменты q расходятся на сегментах с ~нулевой вариацией.</t>
        </is>
      </c>
    </row>
    <row r="22">
      <c r="A22" s="14" t="inlineStr"/>
      <c r="B22" s="14" t="inlineStr">
        <is>
          <t>Сам этот срыв — индикатор: чистый тон НЕ мультифрактал, а квазипериодика.</t>
        </is>
      </c>
    </row>
    <row r="23">
      <c r="A23" s="14" t="inlineStr"/>
      <c r="B23" s="14" t="inlineStr"/>
    </row>
    <row r="24">
      <c r="A24" s="14" t="inlineStr">
        <is>
          <t>Взаимовложенность</t>
        </is>
      </c>
      <c r="B24" s="14" t="inlineStr">
        <is>
          <t>Гласная = тонкая гребёнка гармоник ВНУТРИ медленной огибающей формант.</t>
        </is>
      </c>
    </row>
    <row r="25">
      <c r="A25" s="14" t="inlineStr"/>
      <c r="B25" s="14" t="inlineStr">
        <is>
          <t>От I к V периодичность уступает место самоподобной шероховатости, масштабов всё больше.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2026-06-15T18:13:18Z</dcterms:created>
  <dcterms:modified xmlns:dcterms="http://purl.org/dc/terms/" xmlns:xsi="http://www.w3.org/2001/XMLSchema-instance" xsi:type="dcterms:W3CDTF">2026-06-15T18:13:18Z</dcterms:modified>
</cp:coreProperties>
</file>